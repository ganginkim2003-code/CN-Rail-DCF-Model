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ganginkim/Desktop/"/>
    </mc:Choice>
  </mc:AlternateContent>
  <xr:revisionPtr revIDLastSave="0" documentId="13_ncr:1_{EA9E6BC3-5F90-4445-809B-5C7955A5D26C}" xr6:coauthVersionLast="47" xr6:coauthVersionMax="47" xr10:uidLastSave="{00000000-0000-0000-0000-000000000000}"/>
  <bookViews>
    <workbookView xWindow="0" yWindow="500" windowWidth="28800" windowHeight="16100" tabRatio="500" activeTab="1" xr2:uid="{00000000-000D-0000-FFFF-FFFF00000000}"/>
  </bookViews>
  <sheets>
    <sheet name="Historical" sheetId="1" r:id="rId1"/>
    <sheet name="Assumptions" sheetId="2" r:id="rId2"/>
    <sheet name="Projections" sheetId="3" r:id="rId3"/>
    <sheet name="DCF" sheetId="4" r:id="rId4"/>
    <sheet name="Comp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4" l="1"/>
  <c r="F12" i="3"/>
  <c r="E12" i="3"/>
  <c r="D12" i="3"/>
  <c r="C12" i="3"/>
  <c r="B12" i="3"/>
  <c r="F4" i="3"/>
  <c r="F5" i="3" s="1"/>
  <c r="E4" i="3"/>
  <c r="E5" i="3" s="1"/>
  <c r="D4" i="3"/>
  <c r="D13" i="3" s="1"/>
  <c r="C4" i="3"/>
  <c r="C5" i="3" s="1"/>
  <c r="B4" i="3"/>
  <c r="B5" i="3" s="1"/>
  <c r="F3" i="2"/>
  <c r="E3" i="2"/>
  <c r="D3" i="2"/>
  <c r="C3" i="2"/>
  <c r="G27" i="1"/>
  <c r="B4" i="4" s="1"/>
  <c r="F27" i="1"/>
  <c r="E27" i="1"/>
  <c r="D27" i="1"/>
  <c r="C27" i="1"/>
  <c r="G23" i="1"/>
  <c r="F6" i="2" s="1"/>
  <c r="F23" i="1"/>
  <c r="E6" i="2" s="1"/>
  <c r="E23" i="1"/>
  <c r="D6" i="2" s="1"/>
  <c r="D23" i="1"/>
  <c r="C6" i="2" s="1"/>
  <c r="C23" i="1"/>
  <c r="B6" i="2" s="1"/>
  <c r="G19" i="1"/>
  <c r="G20" i="1" s="1"/>
  <c r="F4" i="2" s="1"/>
  <c r="F19" i="1"/>
  <c r="F20" i="1" s="1"/>
  <c r="E4" i="2" s="1"/>
  <c r="E19" i="1"/>
  <c r="E20" i="1" s="1"/>
  <c r="D4" i="2" s="1"/>
  <c r="D19" i="1"/>
  <c r="D20" i="1" s="1"/>
  <c r="C4" i="2" s="1"/>
  <c r="C19" i="1"/>
  <c r="C20" i="1" s="1"/>
  <c r="B4" i="2" s="1"/>
  <c r="G16" i="1"/>
  <c r="F5" i="2" s="1"/>
  <c r="F16" i="1"/>
  <c r="E5" i="2" s="1"/>
  <c r="E16" i="1"/>
  <c r="D5" i="2" s="1"/>
  <c r="D16" i="1"/>
  <c r="C5" i="2" s="1"/>
  <c r="C16" i="1"/>
  <c r="B5" i="2" s="1"/>
  <c r="G15" i="1"/>
  <c r="F15" i="1"/>
  <c r="E15" i="1"/>
  <c r="D15" i="1"/>
  <c r="C15" i="1"/>
  <c r="G9" i="1"/>
  <c r="F9" i="1"/>
  <c r="E9" i="1"/>
  <c r="D9" i="1"/>
  <c r="C9" i="1"/>
  <c r="G7" i="1"/>
  <c r="F7" i="1"/>
  <c r="E7" i="1"/>
  <c r="D7" i="1"/>
  <c r="C7" i="1"/>
  <c r="G3" i="2" l="1"/>
  <c r="D5" i="3"/>
  <c r="D7" i="3" s="1"/>
  <c r="G4" i="2"/>
  <c r="F13" i="3"/>
  <c r="D8" i="3"/>
  <c r="D11" i="3"/>
  <c r="D14" i="3" s="1"/>
  <c r="G6" i="2"/>
  <c r="B7" i="3"/>
  <c r="B6" i="3"/>
  <c r="G5" i="2"/>
  <c r="E6" i="3"/>
  <c r="E7" i="3"/>
  <c r="C7" i="3"/>
  <c r="C6" i="3"/>
  <c r="F6" i="3"/>
  <c r="F7" i="3"/>
  <c r="B6" i="4"/>
  <c r="H9" i="2" s="1"/>
  <c r="B13" i="3"/>
  <c r="D6" i="3"/>
  <c r="C13" i="3"/>
  <c r="E13" i="3"/>
  <c r="E11" i="3" l="1"/>
  <c r="E14" i="3" s="1"/>
  <c r="E8" i="4" s="1"/>
  <c r="E8" i="3"/>
  <c r="B11" i="3"/>
  <c r="B14" i="3" s="1"/>
  <c r="B8" i="4" s="1"/>
  <c r="B8" i="3"/>
  <c r="D8" i="4"/>
  <c r="F8" i="3"/>
  <c r="F11" i="3"/>
  <c r="F14" i="3" s="1"/>
  <c r="C8" i="3"/>
  <c r="C11" i="3"/>
  <c r="C14" i="3" s="1"/>
  <c r="C8" i="4" s="1"/>
  <c r="B9" i="4" l="1"/>
  <c r="B10" i="4" s="1"/>
  <c r="F8" i="4"/>
  <c r="B12" i="4" l="1"/>
  <c r="B14" i="4" s="1"/>
  <c r="B11" i="4"/>
</calcChain>
</file>

<file path=xl/sharedStrings.xml><?xml version="1.0" encoding="utf-8"?>
<sst xmlns="http://schemas.openxmlformats.org/spreadsheetml/2006/main" count="113" uniqueCount="102">
  <si>
    <t>CN Rail  |  Historical Financials (5-Year)  |  CAD $mm</t>
  </si>
  <si>
    <t>Source: CN Annual Reports 2021–2025, SEC EDGAR  —  www.cn.ca/investors</t>
  </si>
  <si>
    <t xml:space="preserve">  INCOME STATEMENT</t>
  </si>
  <si>
    <t>Total Revenue</t>
  </si>
  <si>
    <t>Source: CN Annual Reports, Selected Railroad Statistics</t>
  </si>
  <si>
    <t>Operating Income (EBIT)</t>
  </si>
  <si>
    <t>Source: same</t>
  </si>
  <si>
    <t>EBIT Margin %</t>
  </si>
  <si>
    <t>Formula: EBIT / Revenue</t>
  </si>
  <si>
    <t>Net Income</t>
  </si>
  <si>
    <t>Net Margin %</t>
  </si>
  <si>
    <t>Formula: Net Income / Revenue</t>
  </si>
  <si>
    <t>Diluted EPS ($)</t>
  </si>
  <si>
    <t>Operating Ratio %</t>
  </si>
  <si>
    <t xml:space="preserve">  CASH FLOW &amp; CAPEX</t>
  </si>
  <si>
    <t>Free Cash Flow</t>
  </si>
  <si>
    <t>Source: CN Annual Reports</t>
  </si>
  <si>
    <t>Gross Capex</t>
  </si>
  <si>
    <t>FCF Conversion %</t>
  </si>
  <si>
    <t>Formula: FCF / Net Income</t>
  </si>
  <si>
    <t>Capex % of Revenue</t>
  </si>
  <si>
    <t>Formula: Capex / Revenue</t>
  </si>
  <si>
    <t xml:space="preserve">  ADDITIONAL METRICS</t>
  </si>
  <si>
    <t>D&amp;A (Depreciation &amp; Amortization)</t>
  </si>
  <si>
    <t>EBITDA</t>
  </si>
  <si>
    <t>EBITDA Margin %</t>
  </si>
  <si>
    <t>Interest Expense</t>
  </si>
  <si>
    <t>Income Tax Expense</t>
  </si>
  <si>
    <t>Effective Tax Rate %</t>
  </si>
  <si>
    <t xml:space="preserve">  BALANCE SHEET ITEMS</t>
  </si>
  <si>
    <t>Long-Term Debt</t>
  </si>
  <si>
    <t>Current Portion of LT Debt</t>
  </si>
  <si>
    <t>Total Debt</t>
  </si>
  <si>
    <t>Shares Outstanding (mm)</t>
  </si>
  <si>
    <t>CN Rail DCF  |  Assumptions</t>
  </si>
  <si>
    <t>5yr Avg</t>
  </si>
  <si>
    <t>Assumption</t>
  </si>
  <si>
    <t>Reasoning</t>
  </si>
  <si>
    <t>Revenue Growth %</t>
  </si>
  <si>
    <t>–</t>
  </si>
  <si>
    <t>3-year avg excluding 2022 (COVID) ~ 1.4%, anchored to long-run North American GDP growth of 2%</t>
  </si>
  <si>
    <t>5-year avg excluding 2022 COVID outlier</t>
  </si>
  <si>
    <t>Capex % Revenue</t>
  </si>
  <si>
    <t>Appears to be stabilizing around this level in recent years</t>
  </si>
  <si>
    <t>Tax Rate %</t>
  </si>
  <si>
    <t>High-end of observed range, conservative estimate</t>
  </si>
  <si>
    <t xml:space="preserve">  DCF-SPECIFIC ASSUMPTIONS  —  To be derived on DCF sheet</t>
  </si>
  <si>
    <t>Terminal Growth Rate</t>
  </si>
  <si>
    <t>In line with long-run North American GDP growth; standard for mature infrastructure</t>
  </si>
  <si>
    <t>WACC</t>
  </si>
  <si>
    <t>CN Rail DCF  |  Projected Free Cash Flows  |  CAD $mm</t>
  </si>
  <si>
    <t xml:space="preserve">  INCOME</t>
  </si>
  <si>
    <t>Revenue</t>
  </si>
  <si>
    <t>EBIT</t>
  </si>
  <si>
    <t xml:space="preserve">  FREE CASH FLOW</t>
  </si>
  <si>
    <t>NOPAT</t>
  </si>
  <si>
    <t>D&amp;A</t>
  </si>
  <si>
    <t>Capex</t>
  </si>
  <si>
    <t>Unlevered Free Cash Flow</t>
  </si>
  <si>
    <t>Assumptions: Revenue Growth 2.0%  |  EBITDA Margin 49.3%  |  Capex % Rev 19.0%  |  Tax Rate 27.0%</t>
  </si>
  <si>
    <t>CN Rail DCF  |  Discounted Cash Flow Valuation  |  CAD $mm</t>
  </si>
  <si>
    <t>Share price</t>
  </si>
  <si>
    <t>CN Rail Beta</t>
  </si>
  <si>
    <t>Canada 10-yr gov bond yield</t>
  </si>
  <si>
    <t xml:space="preserve">  WACC COMPONENTS</t>
  </si>
  <si>
    <t>Cost of Debt</t>
  </si>
  <si>
    <t>Cost of Equity</t>
  </si>
  <si>
    <t xml:space="preserve">  DISCOUNTED CASH FLOWS</t>
  </si>
  <si>
    <t>Discounted Free Cash Flow</t>
  </si>
  <si>
    <t>Terminal Value (undiscounted)</t>
  </si>
  <si>
    <t>PV of Terminal Value</t>
  </si>
  <si>
    <t>Sum of Discounted FCFs</t>
  </si>
  <si>
    <t>Implied Share Price</t>
  </si>
  <si>
    <t>Current Market Price</t>
  </si>
  <si>
    <t>Premium / (Discount) to Market</t>
  </si>
  <si>
    <t>CN Rail DCF  |  Sensitivity Analysis  |  Implied Share Price (CAD)</t>
  </si>
  <si>
    <t>Market price: $139.75  |  Base case (7.5% WACC, 2.0% TGR): ~$104  |  Green = undervalued  |  Red = overvalued</t>
  </si>
  <si>
    <t xml:space="preserve">  IMPLIED SHARE PRICE  —  WACC (columns) vs Terminal Growth Rate (rows)</t>
  </si>
  <si>
    <t>TGR \ WACC</t>
  </si>
  <si>
    <t>LEGEND:</t>
  </si>
  <si>
    <t>Green = implied &gt; $139.75 (undervalued)</t>
  </si>
  <si>
    <t>Red = implied &lt; $139.75 (overvalued)</t>
  </si>
  <si>
    <t>CN Rail DCF  |  Comparable Companies Analysis  |  TTM Data</t>
  </si>
  <si>
    <t>Source: Yahoo Finance, StockAnalysis.com  |  CN Rail in CAD, peers in USD  |  As of March 2026</t>
  </si>
  <si>
    <t>Metric</t>
  </si>
  <si>
    <t>CN Rail</t>
  </si>
  <si>
    <t>CP Rail</t>
  </si>
  <si>
    <t>Union Pacific</t>
  </si>
  <si>
    <t>Norfolk Southern</t>
  </si>
  <si>
    <t>Peer Avg</t>
  </si>
  <si>
    <t>CN vs Peers</t>
  </si>
  <si>
    <t>EV/EBITDA</t>
  </si>
  <si>
    <t>P/E Ratio</t>
  </si>
  <si>
    <t>EV ($B)</t>
  </si>
  <si>
    <t>EBITDA ($B)</t>
  </si>
  <si>
    <t xml:space="preserve">  VALUATION SUMMARY</t>
  </si>
  <si>
    <t>DCF Implied Share Price</t>
  </si>
  <si>
    <t>DCF Premium / (Discount)</t>
  </si>
  <si>
    <t>Analyst Consensus Target</t>
  </si>
  <si>
    <t>~$117</t>
  </si>
  <si>
    <t>Blue = base case</t>
  </si>
  <si>
    <t>Calculated on DCF sheet from cost of debt + cost of equity (CAPM)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</si>
</sst>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164" formatCode="\$#,##0;&quot;($&quot;#,##0\);\-"/>
    <numFmt numFmtId="165" formatCode="0.0%;\(0.0%\);\-"/>
    <numFmt numFmtId="166" formatCode="\$#,##0.00;&quot;($&quot;#,##0.00\);\-"/>
    <numFmt numFmtId="167" formatCode="\$#,##0.00"/>
    <numFmt numFmtId="168" formatCode="0.0%"/>
    <numFmt numFmtId="169" formatCode="0.0\x"/>
    <numFmt numFmtId="170" formatCode="\$#,##0.0"/>
  </numFmts>
  <fonts count="32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  <charset val="1"/>
    </font>
    <font>
      <sz val="9"/>
      <color rgb="FF595959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sz val="8"/>
      <color rgb="FF999999"/>
      <name val="Arial"/>
      <family val="2"/>
    </font>
    <font>
      <sz val="8"/>
      <color rgb="FF808080"/>
      <name val="Arial"/>
      <family val="2"/>
      <charset val="1"/>
    </font>
    <font>
      <b/>
      <sz val="10"/>
      <color rgb="FFFFFFFF"/>
      <name val="Arial"/>
      <family val="2"/>
    </font>
    <font>
      <b/>
      <sz val="12"/>
      <color rgb="FFFFFFFF"/>
      <name val="Arial"/>
      <family val="2"/>
      <charset val="1"/>
    </font>
    <font>
      <sz val="11"/>
      <color theme="0" tint="-0.499984740745262"/>
      <name val="Calibri"/>
      <family val="2"/>
      <charset val="1"/>
    </font>
    <font>
      <sz val="10"/>
      <color rgb="FF008000"/>
      <name val="Arial"/>
      <family val="2"/>
      <charset val="1"/>
    </font>
    <font>
      <sz val="10"/>
      <color rgb="FFFF0000"/>
      <name val="Arial"/>
      <family val="2"/>
      <charset val="1"/>
    </font>
    <font>
      <b/>
      <sz val="10"/>
      <color rgb="FF1F4E79"/>
      <name val="Arial"/>
      <family val="2"/>
      <charset val="1"/>
    </font>
    <font>
      <b/>
      <sz val="10"/>
      <color rgb="FF000000"/>
      <name val="Arial"/>
      <family val="2"/>
      <charset val="1"/>
    </font>
    <font>
      <sz val="9"/>
      <color rgb="FF1F4E79"/>
      <name val="Arial"/>
      <family val="2"/>
    </font>
    <font>
      <b/>
      <sz val="9"/>
      <color rgb="FF1F4E79"/>
      <name val="Arial"/>
      <family val="2"/>
      <charset val="1"/>
    </font>
    <font>
      <b/>
      <sz val="11"/>
      <color rgb="FF1F4E79"/>
      <name val="Arial"/>
      <family val="2"/>
      <charset val="1"/>
    </font>
    <font>
      <sz val="10"/>
      <color rgb="FF595959"/>
      <name val="Arial"/>
      <family val="2"/>
      <charset val="1"/>
    </font>
    <font>
      <b/>
      <sz val="13"/>
      <color rgb="FFFFFFFF"/>
      <name val="Arial"/>
      <family val="2"/>
    </font>
    <font>
      <sz val="9"/>
      <color rgb="FF595959"/>
      <name val="Arial"/>
      <family val="2"/>
    </font>
    <font>
      <b/>
      <sz val="10"/>
      <color rgb="FF595959"/>
      <name val="Arial"/>
      <family val="2"/>
      <charset val="1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F4E79"/>
      <name val="Arial"/>
      <family val="2"/>
    </font>
    <font>
      <b/>
      <sz val="9"/>
      <color rgb="FF000000"/>
      <name val="Arial"/>
      <family val="2"/>
    </font>
    <font>
      <sz val="9"/>
      <color rgb="FF375623"/>
      <name val="Arial"/>
      <family val="2"/>
    </font>
    <font>
      <sz val="9"/>
      <color rgb="FF843C0C"/>
      <name val="Arial"/>
      <family val="2"/>
    </font>
    <font>
      <b/>
      <sz val="10"/>
      <color rgb="FF000000"/>
      <name val="Arial"/>
      <family val="2"/>
    </font>
    <font>
      <b/>
      <sz val="10"/>
      <color rgb="FF375623"/>
      <name val="Arial"/>
      <family val="2"/>
    </font>
    <font>
      <b/>
      <sz val="10"/>
      <color rgb="FF843C0C"/>
      <name val="Arial"/>
      <family val="2"/>
    </font>
    <font>
      <sz val="10"/>
      <color theme="1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D9D9"/>
        <bgColor rgb="FFCCCCCC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CCCCC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</fills>
  <borders count="5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/>
      <right/>
      <top/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2" fillId="4" borderId="0" xfId="0" applyFont="1" applyFill="1" applyAlignment="1">
      <alignment horizontal="left" vertical="center"/>
    </xf>
    <xf numFmtId="0" fontId="0" fillId="4" borderId="0" xfId="0" applyFill="1"/>
    <xf numFmtId="0" fontId="0" fillId="5" borderId="0" xfId="0" applyFill="1"/>
    <xf numFmtId="0" fontId="3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6" fillId="4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166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3" borderId="0" xfId="0" applyFont="1" applyFill="1"/>
    <xf numFmtId="0" fontId="4" fillId="4" borderId="2" xfId="0" applyFont="1" applyFill="1" applyBorder="1" applyAlignment="1">
      <alignment horizontal="left" vertical="center"/>
    </xf>
    <xf numFmtId="10" fontId="11" fillId="4" borderId="3" xfId="0" applyNumberFormat="1" applyFont="1" applyFill="1" applyBorder="1" applyAlignment="1">
      <alignment horizontal="center" vertical="center"/>
    </xf>
    <xf numFmtId="10" fontId="12" fillId="4" borderId="3" xfId="0" applyNumberFormat="1" applyFont="1" applyFill="1" applyBorder="1" applyAlignment="1">
      <alignment horizontal="center" vertical="center"/>
    </xf>
    <xf numFmtId="10" fontId="4" fillId="4" borderId="2" xfId="0" applyNumberFormat="1" applyFont="1" applyFill="1" applyBorder="1" applyAlignment="1">
      <alignment horizontal="center" vertical="center"/>
    </xf>
    <xf numFmtId="10" fontId="13" fillId="6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10" fontId="11" fillId="7" borderId="3" xfId="0" applyNumberFormat="1" applyFont="1" applyFill="1" applyBorder="1" applyAlignment="1">
      <alignment horizontal="center" vertical="center"/>
    </xf>
    <xf numFmtId="10" fontId="4" fillId="7" borderId="2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left" vertical="center" wrapText="1"/>
    </xf>
    <xf numFmtId="0" fontId="0" fillId="7" borderId="3" xfId="0" applyFill="1" applyBorder="1"/>
    <xf numFmtId="0" fontId="3" fillId="2" borderId="2" xfId="0" applyFont="1" applyFill="1" applyBorder="1" applyAlignment="1">
      <alignment horizontal="left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11" fillId="2" borderId="3" xfId="0" applyNumberFormat="1" applyFont="1" applyFill="1" applyBorder="1" applyAlignment="1">
      <alignment horizontal="center" vertical="center"/>
    </xf>
    <xf numFmtId="10" fontId="12" fillId="2" borderId="3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165" fontId="4" fillId="7" borderId="1" xfId="0" applyNumberFormat="1" applyFont="1" applyFill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14" fillId="8" borderId="1" xfId="0" applyFont="1" applyFill="1" applyBorder="1" applyAlignment="1">
      <alignment horizontal="left" vertical="center"/>
    </xf>
    <xf numFmtId="164" fontId="14" fillId="8" borderId="1" xfId="0" applyNumberFormat="1" applyFont="1" applyFill="1" applyBorder="1" applyAlignment="1">
      <alignment horizontal="right" vertical="center"/>
    </xf>
    <xf numFmtId="0" fontId="15" fillId="6" borderId="0" xfId="0" applyFont="1" applyFill="1" applyAlignment="1">
      <alignment horizontal="left" vertical="center"/>
    </xf>
    <xf numFmtId="0" fontId="0" fillId="6" borderId="0" xfId="0" applyFill="1"/>
    <xf numFmtId="0" fontId="16" fillId="6" borderId="0" xfId="0" applyFont="1" applyFill="1" applyAlignment="1">
      <alignment horizontal="right" vertical="center"/>
    </xf>
    <xf numFmtId="167" fontId="13" fillId="6" borderId="0" xfId="0" applyNumberFormat="1" applyFont="1" applyFill="1" applyAlignment="1">
      <alignment horizontal="center" vertical="center"/>
    </xf>
    <xf numFmtId="2" fontId="13" fillId="6" borderId="0" xfId="0" applyNumberFormat="1" applyFont="1" applyFill="1" applyAlignment="1">
      <alignment horizontal="center" vertical="center"/>
    </xf>
    <xf numFmtId="10" fontId="13" fillId="6" borderId="0" xfId="0" applyNumberFormat="1" applyFont="1" applyFill="1" applyAlignment="1">
      <alignment horizontal="center" vertical="center"/>
    </xf>
    <xf numFmtId="10" fontId="4" fillId="7" borderId="1" xfId="0" applyNumberFormat="1" applyFont="1" applyFill="1" applyBorder="1" applyAlignment="1">
      <alignment horizontal="right" vertical="center"/>
    </xf>
    <xf numFmtId="10" fontId="4" fillId="4" borderId="1" xfId="0" applyNumberFormat="1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left" vertical="center"/>
    </xf>
    <xf numFmtId="10" fontId="13" fillId="6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17" fillId="8" borderId="1" xfId="0" applyFont="1" applyFill="1" applyBorder="1" applyAlignment="1">
      <alignment horizontal="left" vertical="center"/>
    </xf>
    <xf numFmtId="166" fontId="17" fillId="8" borderId="1" xfId="0" applyNumberFormat="1" applyFont="1" applyFill="1" applyBorder="1" applyAlignment="1">
      <alignment horizontal="right" vertical="center"/>
    </xf>
    <xf numFmtId="0" fontId="18" fillId="4" borderId="1" xfId="0" applyFont="1" applyFill="1" applyBorder="1" applyAlignment="1">
      <alignment horizontal="left" vertical="center"/>
    </xf>
    <xf numFmtId="167" fontId="18" fillId="4" borderId="1" xfId="0" applyNumberFormat="1" applyFont="1" applyFill="1" applyBorder="1" applyAlignment="1">
      <alignment horizontal="right" vertical="center"/>
    </xf>
    <xf numFmtId="0" fontId="18" fillId="7" borderId="1" xfId="0" applyFont="1" applyFill="1" applyBorder="1" applyAlignment="1">
      <alignment horizontal="left" vertical="center"/>
    </xf>
    <xf numFmtId="165" fontId="18" fillId="7" borderId="1" xfId="0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horizontal="left" vertical="center"/>
    </xf>
    <xf numFmtId="10" fontId="0" fillId="2" borderId="0" xfId="0" applyNumberFormat="1" applyFill="1"/>
    <xf numFmtId="0" fontId="20" fillId="4" borderId="0" xfId="0" applyFont="1" applyFill="1" applyAlignment="1">
      <alignment horizontal="left" vertical="center"/>
    </xf>
    <xf numFmtId="0" fontId="21" fillId="4" borderId="0" xfId="0" applyFont="1" applyFill="1" applyAlignment="1">
      <alignment horizontal="left" vertical="center"/>
    </xf>
    <xf numFmtId="10" fontId="0" fillId="4" borderId="0" xfId="0" applyNumberFormat="1" applyFill="1"/>
    <xf numFmtId="9" fontId="0" fillId="4" borderId="0" xfId="0" applyNumberFormat="1" applyFill="1"/>
    <xf numFmtId="0" fontId="22" fillId="5" borderId="4" xfId="0" applyFont="1" applyFill="1" applyBorder="1" applyAlignment="1">
      <alignment horizontal="center" vertical="center"/>
    </xf>
    <xf numFmtId="167" fontId="23" fillId="9" borderId="4" xfId="0" applyNumberFormat="1" applyFont="1" applyFill="1" applyBorder="1" applyAlignment="1">
      <alignment horizontal="center" vertical="center"/>
    </xf>
    <xf numFmtId="168" fontId="24" fillId="6" borderId="4" xfId="0" applyNumberFormat="1" applyFont="1" applyFill="1" applyBorder="1" applyAlignment="1">
      <alignment horizontal="center" vertical="center"/>
    </xf>
    <xf numFmtId="167" fontId="24" fillId="6" borderId="4" xfId="0" applyNumberFormat="1" applyFont="1" applyFill="1" applyBorder="1" applyAlignment="1">
      <alignment horizontal="center" vertical="center"/>
    </xf>
    <xf numFmtId="168" fontId="23" fillId="7" borderId="4" xfId="0" applyNumberFormat="1" applyFont="1" applyFill="1" applyBorder="1" applyAlignment="1">
      <alignment horizontal="center" vertical="center"/>
    </xf>
    <xf numFmtId="167" fontId="23" fillId="8" borderId="4" xfId="0" applyNumberFormat="1" applyFont="1" applyFill="1" applyBorder="1" applyAlignment="1">
      <alignment horizontal="center" vertical="center"/>
    </xf>
    <xf numFmtId="168" fontId="25" fillId="4" borderId="0" xfId="0" applyNumberFormat="1" applyFont="1" applyFill="1"/>
    <xf numFmtId="0" fontId="26" fillId="8" borderId="0" xfId="0" applyFont="1" applyFill="1"/>
    <xf numFmtId="0" fontId="27" fillId="9" borderId="0" xfId="0" applyFont="1" applyFill="1"/>
    <xf numFmtId="0" fontId="15" fillId="6" borderId="0" xfId="0" applyFont="1" applyFill="1"/>
    <xf numFmtId="168" fontId="19" fillId="2" borderId="0" xfId="0" applyNumberFormat="1" applyFont="1" applyFill="1" applyAlignment="1">
      <alignment horizontal="left" vertical="center"/>
    </xf>
    <xf numFmtId="168" fontId="20" fillId="4" borderId="0" xfId="0" applyNumberFormat="1" applyFont="1" applyFill="1" applyAlignment="1">
      <alignment horizontal="left" vertical="center"/>
    </xf>
    <xf numFmtId="0" fontId="8" fillId="5" borderId="4" xfId="0" applyFont="1" applyFill="1" applyBorder="1" applyAlignment="1">
      <alignment horizontal="center" vertical="center"/>
    </xf>
    <xf numFmtId="0" fontId="28" fillId="4" borderId="4" xfId="0" applyFont="1" applyFill="1" applyBorder="1" applyAlignment="1">
      <alignment horizontal="left" vertical="center"/>
    </xf>
    <xf numFmtId="169" fontId="24" fillId="4" borderId="4" xfId="0" applyNumberFormat="1" applyFont="1" applyFill="1" applyBorder="1" applyAlignment="1">
      <alignment horizontal="center" vertical="center"/>
    </xf>
    <xf numFmtId="169" fontId="23" fillId="4" borderId="4" xfId="0" applyNumberFormat="1" applyFont="1" applyFill="1" applyBorder="1" applyAlignment="1">
      <alignment horizontal="center" vertical="center"/>
    </xf>
    <xf numFmtId="169" fontId="28" fillId="4" borderId="4" xfId="0" applyNumberFormat="1" applyFont="1" applyFill="1" applyBorder="1" applyAlignment="1">
      <alignment horizontal="center" vertical="center"/>
    </xf>
    <xf numFmtId="165" fontId="29" fillId="8" borderId="4" xfId="0" applyNumberFormat="1" applyFont="1" applyFill="1" applyBorder="1" applyAlignment="1">
      <alignment horizontal="center" vertical="center"/>
    </xf>
    <xf numFmtId="0" fontId="28" fillId="7" borderId="4" xfId="0" applyFont="1" applyFill="1" applyBorder="1" applyAlignment="1">
      <alignment horizontal="left" vertical="center"/>
    </xf>
    <xf numFmtId="169" fontId="24" fillId="7" borderId="4" xfId="0" applyNumberFormat="1" applyFont="1" applyFill="1" applyBorder="1" applyAlignment="1">
      <alignment horizontal="center" vertical="center"/>
    </xf>
    <xf numFmtId="169" fontId="23" fillId="7" borderId="4" xfId="0" applyNumberFormat="1" applyFont="1" applyFill="1" applyBorder="1" applyAlignment="1">
      <alignment horizontal="center" vertical="center"/>
    </xf>
    <xf numFmtId="169" fontId="28" fillId="7" borderId="4" xfId="0" applyNumberFormat="1" applyFont="1" applyFill="1" applyBorder="1" applyAlignment="1">
      <alignment horizontal="center" vertical="center"/>
    </xf>
    <xf numFmtId="170" fontId="24" fillId="4" borderId="4" xfId="0" applyNumberFormat="1" applyFont="1" applyFill="1" applyBorder="1" applyAlignment="1">
      <alignment horizontal="center" vertical="center"/>
    </xf>
    <xf numFmtId="170" fontId="23" fillId="4" borderId="4" xfId="0" applyNumberFormat="1" applyFont="1" applyFill="1" applyBorder="1" applyAlignment="1">
      <alignment horizontal="center" vertical="center"/>
    </xf>
    <xf numFmtId="170" fontId="28" fillId="4" borderId="4" xfId="0" applyNumberFormat="1" applyFont="1" applyFill="1" applyBorder="1" applyAlignment="1">
      <alignment horizontal="center" vertical="center"/>
    </xf>
    <xf numFmtId="167" fontId="24" fillId="7" borderId="4" xfId="0" applyNumberFormat="1" applyFont="1" applyFill="1" applyBorder="1" applyAlignment="1">
      <alignment horizontal="center" vertical="center"/>
    </xf>
    <xf numFmtId="167" fontId="23" fillId="7" borderId="4" xfId="0" applyNumberFormat="1" applyFont="1" applyFill="1" applyBorder="1" applyAlignment="1">
      <alignment horizontal="center" vertical="center"/>
    </xf>
    <xf numFmtId="167" fontId="28" fillId="7" borderId="4" xfId="0" applyNumberFormat="1" applyFont="1" applyFill="1" applyBorder="1" applyAlignment="1">
      <alignment horizontal="center" vertical="center"/>
    </xf>
    <xf numFmtId="165" fontId="30" fillId="9" borderId="4" xfId="0" applyNumberFormat="1" applyFont="1" applyFill="1" applyBorder="1" applyAlignment="1">
      <alignment horizontal="center" vertical="center"/>
    </xf>
    <xf numFmtId="168" fontId="24" fillId="4" borderId="4" xfId="0" applyNumberFormat="1" applyFont="1" applyFill="1" applyBorder="1" applyAlignment="1">
      <alignment horizontal="center" vertical="center"/>
    </xf>
    <xf numFmtId="168" fontId="23" fillId="4" borderId="4" xfId="0" applyNumberFormat="1" applyFont="1" applyFill="1" applyBorder="1" applyAlignment="1">
      <alignment horizontal="center" vertical="center"/>
    </xf>
    <xf numFmtId="168" fontId="28" fillId="4" borderId="4" xfId="0" applyNumberFormat="1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23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28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23" fillId="6" borderId="1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8" fontId="24" fillId="8" borderId="1" xfId="0" applyNumberFormat="1" applyFont="1" applyFill="1" applyBorder="1" applyAlignment="1">
      <alignment horizontal="center" vertical="center"/>
    </xf>
    <xf numFmtId="8" fontId="23" fillId="4" borderId="1" xfId="0" applyNumberFormat="1" applyFont="1" applyFill="1" applyBorder="1" applyAlignment="1">
      <alignment horizontal="center" vertical="center"/>
    </xf>
    <xf numFmtId="10" fontId="24" fillId="9" borderId="1" xfId="0" applyNumberFormat="1" applyFont="1" applyFill="1" applyBorder="1" applyAlignment="1">
      <alignment horizontal="center" vertical="center"/>
    </xf>
    <xf numFmtId="10" fontId="23" fillId="7" borderId="4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0" fillId="0" borderId="1" xfId="0" applyBorder="1"/>
    <xf numFmtId="10" fontId="8" fillId="5" borderId="4" xfId="0" applyNumberFormat="1" applyFont="1" applyFill="1" applyBorder="1" applyAlignment="1">
      <alignment horizontal="center" vertical="center"/>
    </xf>
    <xf numFmtId="10" fontId="31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1499984740745262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BBBBB"/>
      <rgbColor rgb="FF808080"/>
      <rgbColor rgb="FF9999FF"/>
      <rgbColor rgb="FF993366"/>
      <rgbColor rgb="FFF2F2F2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CCCCCC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4"/>
  <sheetViews>
    <sheetView showGridLines="0" zoomScale="109" zoomScaleNormal="109" workbookViewId="0">
      <selection activeCell="E10" sqref="E10"/>
    </sheetView>
  </sheetViews>
  <sheetFormatPr baseColWidth="10" defaultColWidth="8.6640625" defaultRowHeight="15" x14ac:dyDescent="0.2"/>
  <cols>
    <col min="1" max="1" width="38" customWidth="1"/>
    <col min="2" max="2" width="4" customWidth="1"/>
    <col min="3" max="7" width="13" customWidth="1"/>
    <col min="8" max="8" width="55" customWidth="1"/>
  </cols>
  <sheetData>
    <row r="1" spans="1:30" ht="27.7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4" customHeight="1" x14ac:dyDescent="0.2">
      <c r="A2" s="4" t="s">
        <v>1</v>
      </c>
      <c r="B2" s="5"/>
      <c r="C2" s="5"/>
      <c r="D2" s="5"/>
      <c r="E2" s="5"/>
      <c r="F2" s="5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9.5" customHeight="1" x14ac:dyDescent="0.2">
      <c r="A3" s="6"/>
      <c r="B3" s="6"/>
      <c r="C3" s="7">
        <v>2021</v>
      </c>
      <c r="D3" s="7">
        <v>2022</v>
      </c>
      <c r="E3" s="7">
        <v>2023</v>
      </c>
      <c r="F3" s="7">
        <v>2024</v>
      </c>
      <c r="G3" s="7">
        <v>2025</v>
      </c>
      <c r="H3" s="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8" customHeight="1" x14ac:dyDescent="0.2">
      <c r="A4" s="8" t="s">
        <v>2</v>
      </c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6.5" customHeight="1" x14ac:dyDescent="0.2">
      <c r="A5" s="9" t="s">
        <v>3</v>
      </c>
      <c r="C5" s="10">
        <v>14477</v>
      </c>
      <c r="D5" s="10">
        <v>17107</v>
      </c>
      <c r="E5" s="10">
        <v>16828</v>
      </c>
      <c r="F5" s="10">
        <v>17046</v>
      </c>
      <c r="G5" s="10">
        <v>17300</v>
      </c>
      <c r="H5" s="11" t="s">
        <v>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6.5" customHeight="1" x14ac:dyDescent="0.2">
      <c r="A6" s="9" t="s">
        <v>5</v>
      </c>
      <c r="C6" s="10">
        <v>5616</v>
      </c>
      <c r="D6" s="10">
        <v>6840</v>
      </c>
      <c r="E6" s="10">
        <v>6597</v>
      </c>
      <c r="F6" s="10">
        <v>6247</v>
      </c>
      <c r="G6" s="10">
        <v>6600</v>
      </c>
      <c r="H6" s="11" t="s">
        <v>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6.5" customHeight="1" x14ac:dyDescent="0.2">
      <c r="A7" s="9" t="s">
        <v>7</v>
      </c>
      <c r="C7" s="12">
        <f>C6/C5</f>
        <v>0.38792567520895216</v>
      </c>
      <c r="D7" s="12">
        <f>D6/D5</f>
        <v>0.39983632431168525</v>
      </c>
      <c r="E7" s="12">
        <f>E6/E5</f>
        <v>0.3920251961017352</v>
      </c>
      <c r="F7" s="12">
        <f>F6/F5</f>
        <v>0.36647893934060777</v>
      </c>
      <c r="G7" s="12">
        <f>G6/G5</f>
        <v>0.38150289017341038</v>
      </c>
      <c r="H7" s="13" t="s">
        <v>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6.5" customHeight="1" x14ac:dyDescent="0.2">
      <c r="A8" s="9" t="s">
        <v>9</v>
      </c>
      <c r="C8" s="10">
        <v>4899</v>
      </c>
      <c r="D8" s="10">
        <v>5118</v>
      </c>
      <c r="E8" s="10">
        <v>5625</v>
      </c>
      <c r="F8" s="10">
        <v>4448</v>
      </c>
      <c r="G8" s="10">
        <v>4700</v>
      </c>
      <c r="H8" s="11" t="s">
        <v>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6.5" customHeight="1" x14ac:dyDescent="0.2">
      <c r="A9" s="9" t="s">
        <v>10</v>
      </c>
      <c r="C9" s="12">
        <f>C8/C5</f>
        <v>0.33839883953857841</v>
      </c>
      <c r="D9" s="12">
        <f>D8/D5</f>
        <v>0.29917577599812945</v>
      </c>
      <c r="E9" s="12">
        <f>E8/E5</f>
        <v>0.33426432136914663</v>
      </c>
      <c r="F9" s="12">
        <f>F8/F5</f>
        <v>0.26094098322187026</v>
      </c>
      <c r="G9" s="12">
        <f>G8/G5</f>
        <v>0.27167630057803466</v>
      </c>
      <c r="H9" s="13" t="s">
        <v>11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6.5" customHeight="1" x14ac:dyDescent="0.2">
      <c r="A10" s="9" t="s">
        <v>12</v>
      </c>
      <c r="C10" s="14">
        <v>6.89</v>
      </c>
      <c r="D10" s="14">
        <v>7.44</v>
      </c>
      <c r="E10" s="14">
        <v>8.5299999999999994</v>
      </c>
      <c r="F10" s="14">
        <v>7.01</v>
      </c>
      <c r="G10" s="14">
        <v>7.57</v>
      </c>
      <c r="H10" s="11" t="s">
        <v>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6.5" customHeight="1" x14ac:dyDescent="0.2">
      <c r="A11" s="9" t="s">
        <v>13</v>
      </c>
      <c r="C11" s="15">
        <v>0.61199999999999999</v>
      </c>
      <c r="D11" s="15">
        <v>0.6</v>
      </c>
      <c r="E11" s="15">
        <v>0.60799999999999998</v>
      </c>
      <c r="F11" s="15">
        <v>0.63400000000000001</v>
      </c>
      <c r="G11" s="15">
        <v>0.61899999999999999</v>
      </c>
      <c r="H11" s="11" t="s">
        <v>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8" customHeight="1" x14ac:dyDescent="0.2">
      <c r="A12" s="8" t="s">
        <v>14</v>
      </c>
      <c r="B12" s="2"/>
      <c r="C12" s="2"/>
      <c r="D12" s="2"/>
      <c r="E12" s="2"/>
      <c r="F12" s="2"/>
      <c r="G12" s="2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6.5" customHeight="1" x14ac:dyDescent="0.2">
      <c r="A13" s="9" t="s">
        <v>15</v>
      </c>
      <c r="C13" s="10">
        <v>3296</v>
      </c>
      <c r="D13" s="10">
        <v>4259</v>
      </c>
      <c r="E13" s="10">
        <v>3887</v>
      </c>
      <c r="F13" s="10">
        <v>3092</v>
      </c>
      <c r="G13" s="10">
        <v>3340</v>
      </c>
      <c r="H13" s="11" t="s">
        <v>16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6.5" customHeight="1" x14ac:dyDescent="0.2">
      <c r="A14" s="9" t="s">
        <v>17</v>
      </c>
      <c r="C14" s="10">
        <v>2639</v>
      </c>
      <c r="D14" s="10">
        <v>2757</v>
      </c>
      <c r="E14" s="10">
        <v>3217</v>
      </c>
      <c r="F14" s="10">
        <v>3549</v>
      </c>
      <c r="G14" s="10">
        <v>3300</v>
      </c>
      <c r="H14" s="11" t="s">
        <v>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6.5" customHeight="1" x14ac:dyDescent="0.2">
      <c r="A15" s="9" t="s">
        <v>18</v>
      </c>
      <c r="C15" s="12">
        <f>C13/C8</f>
        <v>0.67279036538068993</v>
      </c>
      <c r="D15" s="12">
        <f>D13/D8</f>
        <v>0.83216100039077767</v>
      </c>
      <c r="E15" s="12">
        <f>E13/E8</f>
        <v>0.6910222222222222</v>
      </c>
      <c r="F15" s="12">
        <f>F13/F8</f>
        <v>0.69514388489208634</v>
      </c>
      <c r="G15" s="12">
        <f>G13/G8</f>
        <v>0.71063829787234045</v>
      </c>
      <c r="H15" s="13" t="s">
        <v>19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6.5" customHeight="1" x14ac:dyDescent="0.2">
      <c r="A16" s="9" t="s">
        <v>20</v>
      </c>
      <c r="C16" s="12">
        <f>C14/C5</f>
        <v>0.18228914830420667</v>
      </c>
      <c r="D16" s="12">
        <f>D14/D5</f>
        <v>0.16116209738703455</v>
      </c>
      <c r="E16" s="12">
        <f>E14/E5</f>
        <v>0.19116947943903018</v>
      </c>
      <c r="F16" s="12">
        <f>F14/F5</f>
        <v>0.20820133755719816</v>
      </c>
      <c r="G16" s="12">
        <f>G14/G5</f>
        <v>0.19075144508670519</v>
      </c>
      <c r="H16" s="13" t="s">
        <v>21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8" customHeight="1" x14ac:dyDescent="0.2">
      <c r="A17" s="16" t="s">
        <v>22</v>
      </c>
      <c r="B17" s="2"/>
      <c r="C17" s="2"/>
      <c r="D17" s="2"/>
      <c r="E17" s="2"/>
      <c r="F17" s="2"/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6.5" customHeight="1" x14ac:dyDescent="0.2">
      <c r="A18" s="9" t="s">
        <v>23</v>
      </c>
      <c r="C18" s="17">
        <v>1598</v>
      </c>
      <c r="D18" s="17">
        <v>1729</v>
      </c>
      <c r="E18" s="17">
        <v>1817</v>
      </c>
      <c r="F18" s="17">
        <v>1892</v>
      </c>
      <c r="G18" s="17">
        <v>1938</v>
      </c>
      <c r="H18" s="1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6.5" customHeight="1" x14ac:dyDescent="0.2">
      <c r="A19" s="9" t="s">
        <v>24</v>
      </c>
      <c r="C19" s="18">
        <f>C6+C18</f>
        <v>7214</v>
      </c>
      <c r="D19" s="18">
        <f>D6+D18</f>
        <v>8569</v>
      </c>
      <c r="E19" s="18">
        <f>E6+E18</f>
        <v>8414</v>
      </c>
      <c r="F19" s="18">
        <f>F6+F18</f>
        <v>8139</v>
      </c>
      <c r="G19" s="18">
        <f>G6+G18</f>
        <v>8538</v>
      </c>
      <c r="H19" s="1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6.5" customHeight="1" x14ac:dyDescent="0.2">
      <c r="A20" s="9" t="s">
        <v>25</v>
      </c>
      <c r="C20" s="19">
        <f>C19/C5</f>
        <v>0.49830766042688401</v>
      </c>
      <c r="D20" s="19">
        <f>D19/D5</f>
        <v>0.50090606184602793</v>
      </c>
      <c r="E20" s="19">
        <f>E19/E5</f>
        <v>0.5</v>
      </c>
      <c r="F20" s="19">
        <f>F19/F5</f>
        <v>0.47747272087293208</v>
      </c>
      <c r="G20" s="19">
        <f>G19/G5</f>
        <v>0.49352601156069364</v>
      </c>
      <c r="H20" s="1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6.5" customHeight="1" x14ac:dyDescent="0.2">
      <c r="A21" s="9" t="s">
        <v>26</v>
      </c>
      <c r="C21" s="17">
        <v>610</v>
      </c>
      <c r="D21" s="17">
        <v>548</v>
      </c>
      <c r="E21" s="17">
        <v>722</v>
      </c>
      <c r="F21" s="17">
        <v>891</v>
      </c>
      <c r="G21" s="17">
        <v>913</v>
      </c>
      <c r="H21" s="1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6.5" customHeight="1" x14ac:dyDescent="0.2">
      <c r="A22" s="9" t="s">
        <v>27</v>
      </c>
      <c r="C22" s="17">
        <v>1443</v>
      </c>
      <c r="D22" s="17">
        <v>1645</v>
      </c>
      <c r="E22" s="17">
        <v>1443</v>
      </c>
      <c r="F22" s="17">
        <v>1404</v>
      </c>
      <c r="G22" s="17">
        <v>1544</v>
      </c>
      <c r="H22" s="1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6.5" customHeight="1" x14ac:dyDescent="0.2">
      <c r="A23" s="9" t="s">
        <v>28</v>
      </c>
      <c r="C23" s="19">
        <f>C22/(C6-C21)</f>
        <v>0.28825409508589694</v>
      </c>
      <c r="D23" s="19">
        <f>D22/(D6-D21)</f>
        <v>0.26144310235219326</v>
      </c>
      <c r="E23" s="19">
        <f>E22/(E6-E21)</f>
        <v>0.24561702127659574</v>
      </c>
      <c r="F23" s="19">
        <f>F22/(F6-F21)</f>
        <v>0.26213592233009708</v>
      </c>
      <c r="G23" s="19">
        <f>G22/(G6-G21)</f>
        <v>0.2714963952874978</v>
      </c>
      <c r="H23" s="1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8" customHeight="1" x14ac:dyDescent="0.2">
      <c r="A24" s="16" t="s">
        <v>29</v>
      </c>
      <c r="B24" s="2"/>
      <c r="C24" s="2"/>
      <c r="D24" s="2"/>
      <c r="E24" s="2"/>
      <c r="F24" s="2"/>
      <c r="G24" s="2"/>
      <c r="H24" s="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6.5" customHeight="1" x14ac:dyDescent="0.2">
      <c r="A25" s="9" t="s">
        <v>30</v>
      </c>
      <c r="C25" s="17">
        <v>11977</v>
      </c>
      <c r="D25" s="17">
        <v>14372</v>
      </c>
      <c r="E25" s="17">
        <v>16133</v>
      </c>
      <c r="F25" s="17">
        <v>19728</v>
      </c>
      <c r="G25" s="17">
        <v>20300</v>
      </c>
      <c r="H25" s="1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6.5" customHeight="1" x14ac:dyDescent="0.2">
      <c r="A26" s="9" t="s">
        <v>31</v>
      </c>
      <c r="C26" s="17">
        <v>508</v>
      </c>
      <c r="D26" s="17">
        <v>1057</v>
      </c>
      <c r="E26" s="17">
        <v>2340</v>
      </c>
      <c r="F26" s="17">
        <v>1166</v>
      </c>
      <c r="G26" s="17">
        <v>906</v>
      </c>
      <c r="H26" s="1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6.5" customHeight="1" x14ac:dyDescent="0.2">
      <c r="A27" s="9" t="s">
        <v>32</v>
      </c>
      <c r="C27" s="18">
        <f>C25+C26</f>
        <v>12485</v>
      </c>
      <c r="D27" s="18">
        <f>D25+D26</f>
        <v>15429</v>
      </c>
      <c r="E27" s="18">
        <f>E25+E26</f>
        <v>18473</v>
      </c>
      <c r="F27" s="18">
        <f>F25+F26</f>
        <v>20894</v>
      </c>
      <c r="G27" s="18">
        <f>G25+G26</f>
        <v>21206</v>
      </c>
      <c r="H27" s="1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6.5" customHeight="1" x14ac:dyDescent="0.2">
      <c r="A28" s="9" t="s">
        <v>33</v>
      </c>
      <c r="C28" s="20">
        <v>700.9</v>
      </c>
      <c r="D28" s="20">
        <v>671</v>
      </c>
      <c r="E28" s="20">
        <v>642.70000000000005</v>
      </c>
      <c r="F28" s="20">
        <v>627.9</v>
      </c>
      <c r="G28" s="20">
        <v>613.29999999999995</v>
      </c>
      <c r="H28" s="1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</sheetData>
  <conditionalFormatting sqref="A5:G16 A18:G28">
    <cfRule type="expression" dxfId="0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15"/>
  <sheetViews>
    <sheetView showGridLines="0" tabSelected="1" zoomScale="117" zoomScaleNormal="117" workbookViewId="0">
      <selection activeCell="D8" sqref="D8"/>
    </sheetView>
  </sheetViews>
  <sheetFormatPr baseColWidth="10" defaultColWidth="8.6640625" defaultRowHeight="15" x14ac:dyDescent="0.2"/>
  <cols>
    <col min="1" max="1" width="20" customWidth="1"/>
    <col min="2" max="7" width="9" customWidth="1"/>
    <col min="8" max="8" width="13" customWidth="1"/>
    <col min="9" max="9" width="55" customWidth="1"/>
  </cols>
  <sheetData>
    <row r="1" spans="1:30" ht="27.75" customHeight="1" x14ac:dyDescent="0.2">
      <c r="A1" s="21" t="s">
        <v>34</v>
      </c>
      <c r="B1" s="22"/>
      <c r="C1" s="22"/>
      <c r="D1" s="22"/>
      <c r="E1" s="22"/>
      <c r="F1" s="22"/>
      <c r="G1" s="22"/>
      <c r="H1" s="22"/>
      <c r="I1" s="22"/>
      <c r="J1" s="23"/>
      <c r="K1" s="23"/>
      <c r="L1" s="23"/>
      <c r="M1" s="23"/>
      <c r="N1" s="23"/>
      <c r="O1" s="23"/>
      <c r="P1" s="23"/>
      <c r="Q1" s="2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9.5" customHeight="1" x14ac:dyDescent="0.2">
      <c r="A2" s="24"/>
      <c r="B2" s="7">
        <v>2021</v>
      </c>
      <c r="C2" s="7">
        <v>2022</v>
      </c>
      <c r="D2" s="7">
        <v>2023</v>
      </c>
      <c r="E2" s="7">
        <v>2024</v>
      </c>
      <c r="F2" s="7">
        <v>2025</v>
      </c>
      <c r="G2" s="7" t="s">
        <v>35</v>
      </c>
      <c r="H2" s="24" t="s">
        <v>36</v>
      </c>
      <c r="I2" s="8" t="s">
        <v>37</v>
      </c>
      <c r="J2" s="25"/>
      <c r="K2" s="25"/>
      <c r="L2" s="25"/>
      <c r="M2" s="25"/>
      <c r="N2" s="25"/>
      <c r="O2" s="25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7.75" customHeight="1" x14ac:dyDescent="0.2">
      <c r="A3" s="26" t="s">
        <v>38</v>
      </c>
      <c r="B3" s="120" t="s">
        <v>39</v>
      </c>
      <c r="C3" s="27">
        <f>(Historical!D5-Historical!C5)/Historical!C5</f>
        <v>0.18166747254265386</v>
      </c>
      <c r="D3" s="28">
        <f>(Historical!E5-Historical!D5)/Historical!D5</f>
        <v>-1.6309113228502953E-2</v>
      </c>
      <c r="E3" s="27">
        <f>(Historical!F5-Historical!E5)/Historical!E5</f>
        <v>1.295459947706204E-2</v>
      </c>
      <c r="F3" s="27">
        <f>(Historical!G5-Historical!F5)/Historical!F5</f>
        <v>1.4900856505925144E-2</v>
      </c>
      <c r="G3" s="29">
        <f>AVERAGE(C3:F3)</f>
        <v>4.8303453824284526E-2</v>
      </c>
      <c r="H3" s="30">
        <v>0.02</v>
      </c>
      <c r="I3" s="31" t="s">
        <v>40</v>
      </c>
      <c r="J3" s="25"/>
      <c r="K3" s="25"/>
      <c r="L3" s="25"/>
      <c r="M3" s="25"/>
      <c r="N3" s="25"/>
      <c r="O3" s="25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7.75" customHeight="1" x14ac:dyDescent="0.2">
      <c r="A4" s="32" t="s">
        <v>25</v>
      </c>
      <c r="B4" s="33">
        <f>Historical!C20</f>
        <v>0.49830766042688401</v>
      </c>
      <c r="C4" s="33">
        <f>Historical!D20</f>
        <v>0.50090606184602793</v>
      </c>
      <c r="D4" s="33">
        <f>Historical!E20</f>
        <v>0.5</v>
      </c>
      <c r="E4" s="33">
        <f>Historical!F20</f>
        <v>0.47747272087293208</v>
      </c>
      <c r="F4" s="33">
        <f>Historical!G20</f>
        <v>0.49352601156069364</v>
      </c>
      <c r="G4" s="34">
        <f>AVERAGE(B4:F4)</f>
        <v>0.49404249094130748</v>
      </c>
      <c r="H4" s="30">
        <v>0.49299999999999999</v>
      </c>
      <c r="I4" s="35" t="s">
        <v>41</v>
      </c>
      <c r="J4" s="25"/>
      <c r="K4" s="25"/>
      <c r="L4" s="25"/>
      <c r="M4" s="25"/>
      <c r="N4" s="25"/>
      <c r="O4" s="25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27.75" customHeight="1" x14ac:dyDescent="0.2">
      <c r="A5" s="26" t="s">
        <v>42</v>
      </c>
      <c r="B5" s="27">
        <f>Historical!C16</f>
        <v>0.18228914830420667</v>
      </c>
      <c r="C5" s="27">
        <f>Historical!D16</f>
        <v>0.16116209738703455</v>
      </c>
      <c r="D5" s="27">
        <f>Historical!E16</f>
        <v>0.19116947943903018</v>
      </c>
      <c r="E5" s="27">
        <f>Historical!F16</f>
        <v>0.20820133755719816</v>
      </c>
      <c r="F5" s="27">
        <f>Historical!G16</f>
        <v>0.19075144508670519</v>
      </c>
      <c r="G5" s="29">
        <f>AVERAGE(B5:F5)</f>
        <v>0.18671470155483494</v>
      </c>
      <c r="H5" s="30">
        <v>0.19</v>
      </c>
      <c r="I5" s="31" t="s">
        <v>43</v>
      </c>
      <c r="J5" s="25"/>
      <c r="K5" s="25"/>
      <c r="L5" s="25"/>
      <c r="M5" s="25"/>
      <c r="N5" s="25"/>
      <c r="O5" s="2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7.75" customHeight="1" x14ac:dyDescent="0.2">
      <c r="A6" s="32" t="s">
        <v>44</v>
      </c>
      <c r="B6" s="33">
        <f>Historical!C23</f>
        <v>0.28825409508589694</v>
      </c>
      <c r="C6" s="33">
        <f>Historical!D23</f>
        <v>0.26144310235219326</v>
      </c>
      <c r="D6" s="33">
        <f>Historical!E23</f>
        <v>0.24561702127659574</v>
      </c>
      <c r="E6" s="33">
        <f>Historical!F23</f>
        <v>0.26213592233009708</v>
      </c>
      <c r="F6" s="33">
        <f>Historical!G23</f>
        <v>0.2714963952874978</v>
      </c>
      <c r="G6" s="34">
        <f>AVERAGE(B6:F6)</f>
        <v>0.26578930726645622</v>
      </c>
      <c r="H6" s="30">
        <v>0.27</v>
      </c>
      <c r="I6" s="35" t="s">
        <v>45</v>
      </c>
      <c r="J6" s="25"/>
      <c r="K6" s="25"/>
      <c r="L6" s="25"/>
      <c r="M6" s="25"/>
      <c r="N6" s="25"/>
      <c r="O6" s="25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8" customHeight="1" x14ac:dyDescent="0.2">
      <c r="A7" s="8" t="s">
        <v>46</v>
      </c>
      <c r="B7" s="2"/>
      <c r="C7" s="2"/>
      <c r="D7" s="2"/>
      <c r="E7" s="2"/>
      <c r="F7" s="2"/>
      <c r="G7" s="2"/>
      <c r="H7" s="2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27.75" customHeight="1" x14ac:dyDescent="0.2">
      <c r="A8" s="26" t="s">
        <v>47</v>
      </c>
      <c r="B8" s="36"/>
      <c r="C8" s="36"/>
      <c r="D8" s="36"/>
      <c r="E8" s="36"/>
      <c r="F8" s="36"/>
      <c r="G8" s="36"/>
      <c r="H8" s="30">
        <v>0.02</v>
      </c>
      <c r="I8" s="31" t="s">
        <v>48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27.75" customHeight="1" x14ac:dyDescent="0.2">
      <c r="A9" s="26" t="s">
        <v>49</v>
      </c>
      <c r="B9" s="36"/>
      <c r="C9" s="36"/>
      <c r="D9" s="36"/>
      <c r="E9" s="36"/>
      <c r="F9" s="36"/>
      <c r="G9" s="36"/>
      <c r="H9" s="30">
        <f>DCF!B6</f>
        <v>7.5272371084699086E-2</v>
      </c>
      <c r="I9" s="31" t="s">
        <v>101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19"/>
  <sheetViews>
    <sheetView showGridLines="0" zoomScale="125" zoomScaleNormal="125" workbookViewId="0">
      <selection activeCell="A28" sqref="A28"/>
    </sheetView>
  </sheetViews>
  <sheetFormatPr baseColWidth="10" defaultColWidth="8.6640625" defaultRowHeight="15" x14ac:dyDescent="0.2"/>
  <cols>
    <col min="1" max="1" width="28" customWidth="1"/>
    <col min="2" max="7" width="13" customWidth="1"/>
    <col min="8" max="8" width="10.83203125" customWidth="1"/>
    <col min="9" max="9" width="72" customWidth="1"/>
  </cols>
  <sheetData>
    <row r="1" spans="1:30" ht="27.75" customHeight="1" x14ac:dyDescent="0.2">
      <c r="A1" s="21" t="s">
        <v>50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9.5" customHeight="1" x14ac:dyDescent="0.2">
      <c r="A2" s="7"/>
      <c r="B2" s="7">
        <v>2026</v>
      </c>
      <c r="C2" s="7">
        <v>2027</v>
      </c>
      <c r="D2" s="7">
        <v>2028</v>
      </c>
      <c r="E2" s="7">
        <v>2029</v>
      </c>
      <c r="F2" s="7">
        <v>2030</v>
      </c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8" customHeight="1" x14ac:dyDescent="0.2">
      <c r="A3" s="37" t="s">
        <v>51</v>
      </c>
      <c r="B3" s="38"/>
      <c r="C3" s="39"/>
      <c r="D3" s="40"/>
      <c r="E3" s="39"/>
      <c r="F3" s="39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6.5" customHeight="1" x14ac:dyDescent="0.2">
      <c r="A4" s="41" t="s">
        <v>52</v>
      </c>
      <c r="B4" s="42">
        <f>Historical!$G$5*(1+Assumptions!$H$3)^(B2-2025)</f>
        <v>17646</v>
      </c>
      <c r="C4" s="42">
        <f>Historical!$G$5*(1+Assumptions!$H$3)^(C2-2025)</f>
        <v>17998.919999999998</v>
      </c>
      <c r="D4" s="42">
        <f>Historical!$G$5*(1+Assumptions!$H$3)^(D2-2025)</f>
        <v>18358.898399999998</v>
      </c>
      <c r="E4" s="42">
        <f>Historical!$G$5*(1+Assumptions!$H$3)^(E2-2025)</f>
        <v>18726.076367999998</v>
      </c>
      <c r="F4" s="42">
        <f>Historical!$G$5*(1+Assumptions!$H$3)^(F2-2025)</f>
        <v>19100.597895359999</v>
      </c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6.5" customHeight="1" x14ac:dyDescent="0.2">
      <c r="A5" s="41" t="s">
        <v>24</v>
      </c>
      <c r="B5" s="42">
        <f>B4*Assumptions!$H$4</f>
        <v>8699.4779999999992</v>
      </c>
      <c r="C5" s="42">
        <f>C4*Assumptions!$H$4</f>
        <v>8873.4675599999991</v>
      </c>
      <c r="D5" s="42">
        <f>D4*Assumptions!$H$4</f>
        <v>9050.9369111999986</v>
      </c>
      <c r="E5" s="42">
        <f>E4*Assumptions!$H$4</f>
        <v>9231.9556494239987</v>
      </c>
      <c r="F5" s="42">
        <f>F4*Assumptions!$H$4</f>
        <v>9416.5947624124801</v>
      </c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6.5" customHeight="1" x14ac:dyDescent="0.2">
      <c r="A6" s="43" t="s">
        <v>25</v>
      </c>
      <c r="B6" s="44">
        <f>B5/B4</f>
        <v>0.49299999999999994</v>
      </c>
      <c r="C6" s="44">
        <f>C5/C4</f>
        <v>0.49299999999999999</v>
      </c>
      <c r="D6" s="44">
        <f>D5/D4</f>
        <v>0.49299999999999999</v>
      </c>
      <c r="E6" s="44">
        <f>E5/E4</f>
        <v>0.49299999999999999</v>
      </c>
      <c r="F6" s="44">
        <f>F5/F4</f>
        <v>0.49300000000000005</v>
      </c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6.5" customHeight="1" x14ac:dyDescent="0.2">
      <c r="A7" s="41" t="s">
        <v>53</v>
      </c>
      <c r="B7" s="42">
        <f>B5-B12</f>
        <v>6722.7179999999989</v>
      </c>
      <c r="C7" s="42">
        <f>C5-C12</f>
        <v>6857.1723599999987</v>
      </c>
      <c r="D7" s="42">
        <f>D5-D12</f>
        <v>6994.3158071999987</v>
      </c>
      <c r="E7" s="42">
        <f>E5-E12</f>
        <v>7134.2021233439991</v>
      </c>
      <c r="F7" s="42">
        <f>F5-F12</f>
        <v>7276.8861658108799</v>
      </c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6.5" customHeight="1" x14ac:dyDescent="0.2">
      <c r="A8" s="43" t="s">
        <v>7</v>
      </c>
      <c r="B8" s="44">
        <f>B7/B4</f>
        <v>0.38097687861271673</v>
      </c>
      <c r="C8" s="44">
        <f>C7/C4</f>
        <v>0.38097687861271673</v>
      </c>
      <c r="D8" s="44">
        <f>D7/D4</f>
        <v>0.38097687861271673</v>
      </c>
      <c r="E8" s="44">
        <f>E7/E4</f>
        <v>0.38097687861271673</v>
      </c>
      <c r="F8" s="44">
        <f>F7/F4</f>
        <v>0.38097687861271678</v>
      </c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4.5" customHeight="1" x14ac:dyDescent="0.2">
      <c r="A9" s="5"/>
      <c r="B9" s="5"/>
      <c r="C9" s="5"/>
      <c r="D9" s="5"/>
      <c r="E9" s="5"/>
      <c r="F9" s="5"/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8" customHeight="1" x14ac:dyDescent="0.2">
      <c r="A10" s="8" t="s">
        <v>54</v>
      </c>
      <c r="B10" s="2"/>
      <c r="C10" s="2"/>
      <c r="D10" s="2"/>
      <c r="E10" s="2"/>
      <c r="F10" s="2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6.5" customHeight="1" x14ac:dyDescent="0.2">
      <c r="A11" s="41" t="s">
        <v>55</v>
      </c>
      <c r="B11" s="42">
        <f>B7*(1-Assumptions!$H$6)</f>
        <v>4907.584139999999</v>
      </c>
      <c r="C11" s="42">
        <f>C7*(1-Assumptions!$H$6)</f>
        <v>5005.7358227999985</v>
      </c>
      <c r="D11" s="42">
        <f>D7*(1-Assumptions!$H$6)</f>
        <v>5105.8505392559991</v>
      </c>
      <c r="E11" s="42">
        <f>E7*(1-Assumptions!$H$6)</f>
        <v>5207.9675500411195</v>
      </c>
      <c r="F11" s="42">
        <f>F7*(1-Assumptions!$H$6)</f>
        <v>5312.1269010419419</v>
      </c>
      <c r="G11" s="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6.5" customHeight="1" x14ac:dyDescent="0.2">
      <c r="A12" s="43" t="s">
        <v>56</v>
      </c>
      <c r="B12" s="45">
        <f>Historical!$G$18*(1+Assumptions!$H$3)^(B2-2025)</f>
        <v>1976.76</v>
      </c>
      <c r="C12" s="45">
        <f>Historical!$G$18*(1+Assumptions!$H$3)^(C2-2025)</f>
        <v>2016.2952</v>
      </c>
      <c r="D12" s="45">
        <f>Historical!$G$18*(1+Assumptions!$H$3)^(D2-2025)</f>
        <v>2056.6211039999998</v>
      </c>
      <c r="E12" s="45">
        <f>Historical!$G$18*(1+Assumptions!$H$3)^(E2-2025)</f>
        <v>2097.75352608</v>
      </c>
      <c r="F12" s="45">
        <f>Historical!$G$18*(1+Assumptions!$H$3)^(F2-2025)</f>
        <v>2139.7085966016002</v>
      </c>
      <c r="G12" s="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6.5" customHeight="1" x14ac:dyDescent="0.2">
      <c r="A13" s="43" t="s">
        <v>57</v>
      </c>
      <c r="B13" s="45">
        <f>B4*Assumptions!$H$5</f>
        <v>3352.7400000000002</v>
      </c>
      <c r="C13" s="45">
        <f>C4*Assumptions!$H$5</f>
        <v>3419.7947999999997</v>
      </c>
      <c r="D13" s="45">
        <f>D4*Assumptions!$H$5</f>
        <v>3488.1906959999997</v>
      </c>
      <c r="E13" s="45">
        <f>E4*Assumptions!$H$5</f>
        <v>3557.9545099199995</v>
      </c>
      <c r="F13" s="45">
        <f>F4*Assumptions!$H$5</f>
        <v>3629.1136001184</v>
      </c>
      <c r="G13" s="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6.5" customHeight="1" x14ac:dyDescent="0.2">
      <c r="A14" s="46" t="s">
        <v>58</v>
      </c>
      <c r="B14" s="47">
        <f>B11+B12-B13</f>
        <v>3531.604139999999</v>
      </c>
      <c r="C14" s="47">
        <f>C11+C12-C13</f>
        <v>3602.2362227999984</v>
      </c>
      <c r="D14" s="47">
        <f>D11+D12-D13</f>
        <v>3674.2809472559993</v>
      </c>
      <c r="E14" s="47">
        <f>E11+E12-E13</f>
        <v>3747.7665662011195</v>
      </c>
      <c r="F14" s="47">
        <f>F11+F12-F13</f>
        <v>3822.7218975251421</v>
      </c>
      <c r="G14" s="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.75" customHeight="1" x14ac:dyDescent="0.2">
      <c r="A15" s="48" t="s">
        <v>59</v>
      </c>
      <c r="B15" s="49"/>
      <c r="C15" s="49"/>
      <c r="D15" s="49"/>
      <c r="E15" s="49"/>
      <c r="F15" s="49"/>
      <c r="G15" s="49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0"/>
  <sheetViews>
    <sheetView showGridLines="0" zoomScaleNormal="100" workbookViewId="0">
      <selection activeCell="G10" sqref="G10"/>
    </sheetView>
  </sheetViews>
  <sheetFormatPr baseColWidth="10" defaultColWidth="8.6640625" defaultRowHeight="15" x14ac:dyDescent="0.2"/>
  <cols>
    <col min="1" max="1" width="28" customWidth="1"/>
    <col min="2" max="5" width="14" customWidth="1"/>
    <col min="6" max="6" width="21.6640625" customWidth="1"/>
    <col min="7" max="7" width="20" customWidth="1"/>
    <col min="8" max="8" width="14" customWidth="1"/>
  </cols>
  <sheetData>
    <row r="1" spans="1:30" ht="27.75" customHeight="1" x14ac:dyDescent="0.2">
      <c r="A1" s="21" t="s">
        <v>60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9.5" customHeight="1" x14ac:dyDescent="0.2">
      <c r="A2" s="49"/>
      <c r="B2" s="50" t="s">
        <v>61</v>
      </c>
      <c r="C2" s="51">
        <v>139.75</v>
      </c>
      <c r="D2" s="50" t="s">
        <v>62</v>
      </c>
      <c r="E2" s="52">
        <v>0.95</v>
      </c>
      <c r="F2" s="50" t="s">
        <v>63</v>
      </c>
      <c r="G2" s="53">
        <v>3.3869999999999997E-2</v>
      </c>
      <c r="H2" s="4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8" customHeight="1" x14ac:dyDescent="0.2">
      <c r="A3" s="8" t="s">
        <v>64</v>
      </c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6.5" customHeight="1" x14ac:dyDescent="0.2">
      <c r="A4" s="43" t="s">
        <v>65</v>
      </c>
      <c r="B4" s="54">
        <f>Historical!G21/Historical!G27*(1-Assumptions!H6)</f>
        <v>3.142931245873809E-2</v>
      </c>
      <c r="C4" s="5"/>
      <c r="D4" s="5"/>
      <c r="E4" s="5"/>
      <c r="F4" s="5"/>
      <c r="G4" s="5"/>
      <c r="H4" s="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6.5" customHeight="1" x14ac:dyDescent="0.2">
      <c r="A5" s="41" t="s">
        <v>66</v>
      </c>
      <c r="B5" s="55">
        <f>G2 + E2*0.055</f>
        <v>8.6120000000000002E-2</v>
      </c>
      <c r="C5" s="5"/>
      <c r="D5" s="5"/>
      <c r="E5" s="5"/>
      <c r="F5" s="5"/>
      <c r="G5" s="5"/>
      <c r="H5" s="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6" customHeight="1" x14ac:dyDescent="0.2">
      <c r="A6" s="56" t="s">
        <v>49</v>
      </c>
      <c r="B6" s="57">
        <f>(C2*Historical!G28)/(C2*Historical!G28+Historical!G27) * DCF!B5 + (Historical!G27)/(Historical!G28*C2 + Historical!G27) * DCF!B4</f>
        <v>7.5272371084699086E-2</v>
      </c>
      <c r="C6" s="5"/>
      <c r="D6" s="5"/>
      <c r="E6" s="5"/>
      <c r="F6" s="5"/>
      <c r="G6" s="5"/>
      <c r="H6" s="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9.5" customHeight="1" x14ac:dyDescent="0.2">
      <c r="A7" s="58" t="s">
        <v>67</v>
      </c>
      <c r="B7" s="7">
        <v>2026</v>
      </c>
      <c r="C7" s="7">
        <v>2027</v>
      </c>
      <c r="D7" s="7">
        <v>2028</v>
      </c>
      <c r="E7" s="7">
        <v>2029</v>
      </c>
      <c r="F7" s="7">
        <v>2030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6.5" customHeight="1" x14ac:dyDescent="0.2">
      <c r="A8" s="41" t="s">
        <v>68</v>
      </c>
      <c r="B8" s="42">
        <f>Projections!B14/(1+DCF!$B$6)^(DCF!B7-2025)</f>
        <v>3284.3809949635684</v>
      </c>
      <c r="C8" s="42">
        <f>Projections!C14/(1+DCF!$B$6)^(DCF!C7-2025)</f>
        <v>3115.5535145791955</v>
      </c>
      <c r="D8" s="42">
        <f>Projections!D14/(1+DCF!$B$6)^(DCF!D7-2025)</f>
        <v>2955.404295997168</v>
      </c>
      <c r="E8" s="42">
        <f>Projections!E14/(1+DCF!$B$6)^(DCF!E7-2025)</f>
        <v>2803.4872493526191</v>
      </c>
      <c r="F8" s="42">
        <f>Projections!F14/(1+DCF!$B$6)^(DCF!F7-2025)</f>
        <v>2659.379215198328</v>
      </c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6.5" customHeight="1" x14ac:dyDescent="0.2">
      <c r="A9" s="43" t="s">
        <v>69</v>
      </c>
      <c r="B9" s="45">
        <f>Projections!F14*(1+Assumptions!H8)/(DCF!B6-Assumptions!H8)</f>
        <v>70544.763304989538</v>
      </c>
      <c r="C9" s="5"/>
      <c r="D9" s="5"/>
      <c r="E9" s="5"/>
      <c r="F9" s="5"/>
      <c r="G9" s="5"/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6.5" customHeight="1" x14ac:dyDescent="0.2">
      <c r="A10" s="41" t="s">
        <v>70</v>
      </c>
      <c r="B10" s="42">
        <f>B9/(1+B6)^5</f>
        <v>49076.360327397051</v>
      </c>
      <c r="C10" s="5"/>
      <c r="D10" s="5"/>
      <c r="E10" s="5"/>
      <c r="F10" s="5"/>
      <c r="G10" s="5"/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6.5" customHeight="1" x14ac:dyDescent="0.2">
      <c r="A11" s="43" t="s">
        <v>71</v>
      </c>
      <c r="B11" s="45">
        <f>SUM(B8:F8)</f>
        <v>14818.205270090879</v>
      </c>
      <c r="C11" s="5"/>
      <c r="D11" s="5"/>
      <c r="E11" s="5"/>
      <c r="F11" s="5"/>
      <c r="G11" s="5"/>
      <c r="H11" s="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21.75" customHeight="1" x14ac:dyDescent="0.2">
      <c r="A12" s="59" t="s">
        <v>72</v>
      </c>
      <c r="B12" s="60">
        <f>SUM(B8:F8,B10)/Historical!G28</f>
        <v>104.18158421243753</v>
      </c>
      <c r="C12" s="5"/>
      <c r="D12" s="5"/>
      <c r="E12" s="5"/>
      <c r="F12" s="5"/>
      <c r="G12" s="5"/>
      <c r="H12" s="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6.5" customHeight="1" x14ac:dyDescent="0.2">
      <c r="A13" s="61" t="s">
        <v>73</v>
      </c>
      <c r="B13" s="62">
        <v>139.75</v>
      </c>
      <c r="C13" s="5"/>
      <c r="D13" s="5"/>
      <c r="E13" s="5"/>
      <c r="F13" s="5"/>
      <c r="G13" s="5"/>
      <c r="H13" s="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6.5" customHeight="1" x14ac:dyDescent="0.2">
      <c r="A14" s="63" t="s">
        <v>74</v>
      </c>
      <c r="B14" s="64">
        <f>(B12-B13)/B13</f>
        <v>-0.25451460313103735</v>
      </c>
      <c r="C14" s="5"/>
      <c r="D14" s="5"/>
      <c r="E14" s="5"/>
      <c r="F14" s="5"/>
      <c r="G14" s="5"/>
      <c r="H14" s="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16"/>
  <sheetViews>
    <sheetView showGridLines="0" zoomScaleNormal="100" workbookViewId="0">
      <selection activeCell="E16" sqref="E16"/>
    </sheetView>
  </sheetViews>
  <sheetFormatPr baseColWidth="10" defaultColWidth="8.6640625" defaultRowHeight="15" x14ac:dyDescent="0.2"/>
  <cols>
    <col min="1" max="1" width="24.1640625" customWidth="1"/>
    <col min="2" max="2" width="13" customWidth="1"/>
    <col min="3" max="3" width="15.6640625" customWidth="1"/>
    <col min="4" max="4" width="13" customWidth="1"/>
    <col min="5" max="5" width="14.83203125" bestFit="1" customWidth="1"/>
    <col min="6" max="7" width="13" customWidth="1"/>
  </cols>
  <sheetData>
    <row r="1" spans="1:30" ht="27.75" customHeight="1" x14ac:dyDescent="0.2">
      <c r="A1" s="65" t="s">
        <v>75</v>
      </c>
      <c r="B1" s="2"/>
      <c r="C1" s="66"/>
      <c r="D1" s="2"/>
      <c r="E1" s="66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3.5" customHeight="1" x14ac:dyDescent="0.2">
      <c r="A2" s="67" t="s">
        <v>76</v>
      </c>
      <c r="B2" s="5"/>
      <c r="C2" s="5"/>
      <c r="D2" s="5"/>
      <c r="E2" s="5"/>
      <c r="F2" s="5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6" customHeight="1" x14ac:dyDescent="0.2">
      <c r="A3" s="68"/>
      <c r="B3" s="5"/>
      <c r="C3" s="69"/>
      <c r="D3" s="70"/>
      <c r="E3" s="69"/>
      <c r="F3" s="70"/>
      <c r="G3" s="69"/>
      <c r="H3" s="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8" customHeight="1" x14ac:dyDescent="0.2">
      <c r="A4" s="16" t="s">
        <v>77</v>
      </c>
      <c r="B4" s="66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6" customHeight="1" x14ac:dyDescent="0.2">
      <c r="A5" s="5"/>
      <c r="B5" s="70"/>
      <c r="C5" s="5"/>
      <c r="D5" s="5"/>
      <c r="E5" s="5"/>
      <c r="F5" s="5"/>
      <c r="G5" s="5"/>
      <c r="H5" s="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9.5" customHeight="1" x14ac:dyDescent="0.2">
      <c r="A6" s="71" t="s">
        <v>78</v>
      </c>
      <c r="B6" s="119">
        <v>6.5000000000000002E-2</v>
      </c>
      <c r="C6" s="119">
        <v>7.0000000000000007E-2</v>
      </c>
      <c r="D6" s="119">
        <v>7.4999999999999997E-2</v>
      </c>
      <c r="E6" s="119">
        <v>0.08</v>
      </c>
      <c r="F6" s="119">
        <v>8.5000000000000006E-2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9.5" customHeight="1" x14ac:dyDescent="0.2">
      <c r="A7" s="115">
        <v>1.4999999999999999E-2</v>
      </c>
      <c r="B7" s="72">
        <v>117.2</v>
      </c>
      <c r="C7" s="72">
        <v>106.52</v>
      </c>
      <c r="D7" s="72">
        <v>97.63</v>
      </c>
      <c r="E7" s="72">
        <v>90.1</v>
      </c>
      <c r="F7" s="72">
        <v>83.65</v>
      </c>
      <c r="G7" s="5"/>
      <c r="H7" s="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9.5" customHeight="1" x14ac:dyDescent="0.2">
      <c r="A8" s="73">
        <v>0.02</v>
      </c>
      <c r="B8" s="72">
        <v>127.96</v>
      </c>
      <c r="C8" s="72">
        <v>115.17</v>
      </c>
      <c r="D8" s="74">
        <v>104.7</v>
      </c>
      <c r="E8" s="72">
        <v>95.97</v>
      </c>
      <c r="F8" s="72">
        <v>88.59</v>
      </c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9.5" customHeight="1" x14ac:dyDescent="0.2">
      <c r="A9" s="75">
        <v>2.5000000000000001E-2</v>
      </c>
      <c r="B9" s="76">
        <v>141.41999999999999</v>
      </c>
      <c r="C9" s="72">
        <v>125.73</v>
      </c>
      <c r="D9" s="72">
        <v>113.18</v>
      </c>
      <c r="E9" s="72">
        <v>102.91</v>
      </c>
      <c r="F9" s="72">
        <v>94.36</v>
      </c>
      <c r="G9" s="5"/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9.5" customHeight="1" x14ac:dyDescent="0.2">
      <c r="A10" s="75">
        <v>0.03</v>
      </c>
      <c r="B10" s="76">
        <v>158.72999999999999</v>
      </c>
      <c r="C10" s="72">
        <v>138.94</v>
      </c>
      <c r="D10" s="72">
        <v>123.56</v>
      </c>
      <c r="E10" s="72">
        <v>111.24</v>
      </c>
      <c r="F10" s="72">
        <v>101.17</v>
      </c>
      <c r="G10" s="5"/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5.75" customHeight="1" x14ac:dyDescent="0.2">
      <c r="A11" s="77" t="s">
        <v>79</v>
      </c>
      <c r="B11" s="78" t="s">
        <v>80</v>
      </c>
      <c r="C11" s="78"/>
      <c r="D11" s="79" t="s">
        <v>81</v>
      </c>
      <c r="E11" s="79"/>
      <c r="F11" s="80" t="s">
        <v>100</v>
      </c>
      <c r="G11" s="5"/>
      <c r="H11" s="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27.75" customHeight="1" x14ac:dyDescent="0.2">
      <c r="A12" s="81" t="s">
        <v>82</v>
      </c>
      <c r="B12" s="2"/>
      <c r="C12" s="2"/>
      <c r="D12" s="2"/>
      <c r="E12" s="2"/>
      <c r="F12" s="2"/>
      <c r="G12" s="2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3.5" customHeight="1" x14ac:dyDescent="0.2">
      <c r="A13" s="82" t="s">
        <v>83</v>
      </c>
      <c r="B13" s="5"/>
      <c r="C13" s="5"/>
      <c r="D13" s="5"/>
      <c r="E13" s="5"/>
      <c r="F13" s="5"/>
      <c r="G13" s="5"/>
      <c r="H13" s="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9.5" customHeight="1" x14ac:dyDescent="0.2">
      <c r="A14" s="83" t="s">
        <v>84</v>
      </c>
      <c r="B14" s="83" t="s">
        <v>85</v>
      </c>
      <c r="C14" s="83" t="s">
        <v>86</v>
      </c>
      <c r="D14" s="83" t="s">
        <v>87</v>
      </c>
      <c r="E14" s="83" t="s">
        <v>88</v>
      </c>
      <c r="F14" s="83" t="s">
        <v>89</v>
      </c>
      <c r="G14" s="83" t="s">
        <v>90</v>
      </c>
      <c r="H14" s="8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8" customHeight="1" x14ac:dyDescent="0.2">
      <c r="A15" s="84" t="s">
        <v>91</v>
      </c>
      <c r="B15" s="85">
        <v>12.01</v>
      </c>
      <c r="C15" s="86">
        <v>15.6</v>
      </c>
      <c r="D15" s="86">
        <v>15.01</v>
      </c>
      <c r="E15" s="86">
        <v>13.51</v>
      </c>
      <c r="F15" s="87">
        <v>14.71</v>
      </c>
      <c r="G15" s="88">
        <v>-0.18336355394379</v>
      </c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8" customHeight="1" x14ac:dyDescent="0.2">
      <c r="A16" s="89" t="s">
        <v>92</v>
      </c>
      <c r="B16" s="90">
        <v>19.02</v>
      </c>
      <c r="C16" s="91">
        <v>25.5</v>
      </c>
      <c r="D16" s="91">
        <v>21.85</v>
      </c>
      <c r="E16" s="91">
        <v>17.25</v>
      </c>
      <c r="F16" s="92">
        <v>21.53</v>
      </c>
      <c r="G16" s="88">
        <v>-0.11671826625387</v>
      </c>
      <c r="H16" s="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8" customHeight="1" x14ac:dyDescent="0.2">
      <c r="A17" s="84" t="s">
        <v>93</v>
      </c>
      <c r="B17" s="93">
        <v>80.599999999999994</v>
      </c>
      <c r="C17" s="94">
        <v>82</v>
      </c>
      <c r="D17" s="94">
        <v>175.2</v>
      </c>
      <c r="E17" s="94">
        <v>79.400000000000006</v>
      </c>
      <c r="F17" s="95">
        <v>112.2</v>
      </c>
      <c r="G17" s="88">
        <v>-0.28163992869875198</v>
      </c>
      <c r="H17" s="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8" customHeight="1" x14ac:dyDescent="0.2">
      <c r="A18" s="89" t="s">
        <v>94</v>
      </c>
      <c r="B18" s="96">
        <v>8.5399999999999991</v>
      </c>
      <c r="C18" s="97">
        <v>5.99</v>
      </c>
      <c r="D18" s="97">
        <v>11.68</v>
      </c>
      <c r="E18" s="97">
        <v>5.87</v>
      </c>
      <c r="F18" s="98">
        <v>7.85</v>
      </c>
      <c r="G18" s="99">
        <v>8.8360237892948001E-2</v>
      </c>
      <c r="H18" s="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8" customHeight="1" x14ac:dyDescent="0.2">
      <c r="A19" s="84" t="s">
        <v>10</v>
      </c>
      <c r="B19" s="100">
        <v>0.27300000000000002</v>
      </c>
      <c r="C19" s="101">
        <v>0.28399999999999997</v>
      </c>
      <c r="D19" s="101">
        <v>0.29099999999999998</v>
      </c>
      <c r="E19" s="101">
        <v>0.27500000000000002</v>
      </c>
      <c r="F19" s="102">
        <v>0.28000000000000003</v>
      </c>
      <c r="G19" s="88">
        <v>-3.6470588235293998E-2</v>
      </c>
      <c r="H19" s="5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8" customHeight="1" x14ac:dyDescent="0.2">
      <c r="A20" s="16" t="s">
        <v>95</v>
      </c>
      <c r="B20" s="2"/>
      <c r="C20" s="2"/>
      <c r="D20" s="2"/>
      <c r="E20" s="2"/>
      <c r="F20" s="2"/>
      <c r="G20" s="2"/>
      <c r="H20" s="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6.5" customHeight="1" x14ac:dyDescent="0.2">
      <c r="A21" s="103" t="s">
        <v>96</v>
      </c>
      <c r="B21" s="112">
        <v>104.18</v>
      </c>
      <c r="C21" s="104"/>
      <c r="D21" s="104"/>
      <c r="E21" s="104"/>
      <c r="F21" s="104"/>
      <c r="G21" s="104"/>
      <c r="H21" s="5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6.5" customHeight="1" x14ac:dyDescent="0.2">
      <c r="A22" s="105" t="s">
        <v>73</v>
      </c>
      <c r="B22" s="113">
        <v>139.75</v>
      </c>
      <c r="C22" s="106"/>
      <c r="D22" s="106"/>
      <c r="E22" s="106"/>
      <c r="F22" s="106"/>
      <c r="G22" s="106"/>
      <c r="H22" s="5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6.5" customHeight="1" x14ac:dyDescent="0.2">
      <c r="A23" s="107" t="s">
        <v>97</v>
      </c>
      <c r="B23" s="114">
        <v>-0.254</v>
      </c>
      <c r="C23" s="108"/>
      <c r="D23" s="108"/>
      <c r="E23" s="108"/>
      <c r="F23" s="108"/>
      <c r="G23" s="108"/>
      <c r="H23" s="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6.5" customHeight="1" x14ac:dyDescent="0.2">
      <c r="A24" s="109" t="s">
        <v>98</v>
      </c>
      <c r="B24" s="110" t="s">
        <v>99</v>
      </c>
      <c r="C24" s="111"/>
      <c r="D24" s="111"/>
      <c r="E24" s="111"/>
      <c r="F24" s="111"/>
      <c r="G24" s="111"/>
      <c r="H24" s="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6.5" customHeight="1" x14ac:dyDescent="0.2">
      <c r="A25" s="116"/>
      <c r="B25" s="117"/>
      <c r="C25" s="118"/>
      <c r="D25" s="118"/>
      <c r="E25" s="118"/>
      <c r="F25" s="118"/>
      <c r="G25" s="118"/>
      <c r="H25" s="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Historical</vt:lpstr>
      <vt:lpstr>Assumptions</vt:lpstr>
      <vt:lpstr>Projections</vt:lpstr>
      <vt:lpstr>DCF</vt:lpstr>
      <vt:lpstr>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Ryan Kim</cp:lastModifiedBy>
  <cp:revision>0</cp:revision>
  <dcterms:created xsi:type="dcterms:W3CDTF">2026-03-17T04:15:11Z</dcterms:created>
  <dcterms:modified xsi:type="dcterms:W3CDTF">2026-03-18T02:51:45Z</dcterms:modified>
  <dc:language>en-US</dc:language>
</cp:coreProperties>
</file>